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ielmelchior/Documents/projects/DOMAS/"/>
    </mc:Choice>
  </mc:AlternateContent>
  <xr:revisionPtr revIDLastSave="0" documentId="13_ncr:1_{BEDC420F-2C11-024B-A752-FBE94008F6C7}" xr6:coauthVersionLast="47" xr6:coauthVersionMax="47" xr10:uidLastSave="{00000000-0000-0000-0000-000000000000}"/>
  <bookViews>
    <workbookView xWindow="1480" yWindow="5240" windowWidth="24420" windowHeight="12100" xr2:uid="{9F513B0E-B5B4-4A64-A2DA-881C5FC458CC}"/>
  </bookViews>
  <sheets>
    <sheet name="clusters_sum_table_HN6" sheetId="1" r:id="rId1"/>
  </sheets>
  <definedNames>
    <definedName name="_xlnm._FilterDatabase" localSheetId="0" hidden="1">clusters_sum_table_HN6!$A$1:$AF$20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<sst xmlns="http://schemas.openxmlformats.org/spreadsheetml/2006/main" count="184" uniqueCount="94">
  <si>
    <t>h_junction</t>
  </si>
  <si>
    <t>m_junction</t>
  </si>
  <si>
    <t>symbol_h</t>
  </si>
  <si>
    <t>ensembl_h</t>
  </si>
  <si>
    <t>rank_h</t>
  </si>
  <si>
    <t>rank_m</t>
  </si>
  <si>
    <t>cluster</t>
  </si>
  <si>
    <t>genes</t>
  </si>
  <si>
    <t>CD4T_abs_deltapsi</t>
  </si>
  <si>
    <t>CD4T_p.adjust</t>
  </si>
  <si>
    <t>GSE115736_avg_CD4T</t>
  </si>
  <si>
    <t>GSE116177_avg_CD4T</t>
  </si>
  <si>
    <t>CD8T_abs_deltapsi</t>
  </si>
  <si>
    <t>CD8T_p.adjust</t>
  </si>
  <si>
    <t>GSE115736_avg_CD8T</t>
  </si>
  <si>
    <t>GSE116177_avg_CD8T</t>
  </si>
  <si>
    <t>Mono_abs_deltapsi</t>
  </si>
  <si>
    <t>Mono_p.adjust</t>
  </si>
  <si>
    <t>GSE115736_avg_Mono</t>
  </si>
  <si>
    <t>GSE116177_avg_Mono</t>
  </si>
  <si>
    <t>NK_abs_deltapsi</t>
  </si>
  <si>
    <t>NK_p.adjust</t>
  </si>
  <si>
    <t>GSE115736_avg_NK</t>
  </si>
  <si>
    <t>GSE116177_avg_NK</t>
  </si>
  <si>
    <t>Neut_abs_deltapsi</t>
  </si>
  <si>
    <t>Neut_p.adjust</t>
  </si>
  <si>
    <t>GSE115736_avg_Neut</t>
  </si>
  <si>
    <t>GSE116177_avg_Neut</t>
  </si>
  <si>
    <t>NveB_abs_deltapsi</t>
  </si>
  <si>
    <t>NveB_p.adjust</t>
  </si>
  <si>
    <t>GSE115736_avg_NveB</t>
  </si>
  <si>
    <t>GSE116177_avg_NveB</t>
  </si>
  <si>
    <t>E8_E9</t>
  </si>
  <si>
    <t>E8_E10</t>
  </si>
  <si>
    <t>E9_E10</t>
  </si>
  <si>
    <t>E1_E2</t>
  </si>
  <si>
    <t>E3_E4</t>
  </si>
  <si>
    <t>E4_E5</t>
  </si>
  <si>
    <t>E7_E8</t>
  </si>
  <si>
    <t>*_E5</t>
  </si>
  <si>
    <t>E2_E3</t>
  </si>
  <si>
    <t>E1_E4</t>
  </si>
  <si>
    <t>E2_E4</t>
  </si>
  <si>
    <t>E1_E3</t>
  </si>
  <si>
    <t>chr12:53295639:53295839</t>
  </si>
  <si>
    <t>chr15:102234695:102234868</t>
  </si>
  <si>
    <t>PFDN5</t>
  </si>
  <si>
    <t>ENSG00000123349</t>
  </si>
  <si>
    <t>chr12:clu_12930</t>
  </si>
  <si>
    <t>chr12:53295639:53296244</t>
  </si>
  <si>
    <t>chr15:102234695:102235253</t>
  </si>
  <si>
    <t>chr12:53295639:53297850</t>
  </si>
  <si>
    <t>chr15:102234695:102236957</t>
  </si>
  <si>
    <t>chr12:53295639:53298045</t>
  </si>
  <si>
    <t>chr15:102234695:102237147</t>
  </si>
  <si>
    <t>E1_E5</t>
  </si>
  <si>
    <t>chr12:53295941:53296244</t>
  </si>
  <si>
    <t>chr15:102234970:102235253</t>
  </si>
  <si>
    <t>chr12:53295941:53297850</t>
  </si>
  <si>
    <t>chr15:102234970:102236957</t>
  </si>
  <si>
    <t>chr12:53296275:53297850</t>
  </si>
  <si>
    <t>chr15:102235284:102236957</t>
  </si>
  <si>
    <t>chr12:53297924:53298045</t>
  </si>
  <si>
    <t>chr15:102237031:102237147</t>
  </si>
  <si>
    <t>E2_E5</t>
  </si>
  <si>
    <t>chr10:68337333:68337858</t>
  </si>
  <si>
    <t>chr10:62855172:62854677</t>
  </si>
  <si>
    <t>HNRNPH3</t>
  </si>
  <si>
    <t>ENSG00000096746</t>
  </si>
  <si>
    <t>chr10:clu_2356</t>
  </si>
  <si>
    <t>chr10:68337333:68338503</t>
  </si>
  <si>
    <t>chr10:62855172:62854004</t>
  </si>
  <si>
    <t>chr10:68337333:68339140</t>
  </si>
  <si>
    <t>chr10:62855172:62853389</t>
  </si>
  <si>
    <t>chr10:68337996:68338503</t>
  </si>
  <si>
    <t>chr10:62854539:62854004</t>
  </si>
  <si>
    <t>chr10:68338642:68339140</t>
  </si>
  <si>
    <t>chr10:62853865:62853389</t>
  </si>
  <si>
    <t>chr10:68338687:68339140</t>
  </si>
  <si>
    <t>chr10:62853820:62853389</t>
  </si>
  <si>
    <t>E7_E10</t>
  </si>
  <si>
    <t>CD6</t>
  </si>
  <si>
    <t>ENSG00000013725</t>
  </si>
  <si>
    <t>chr11:61013563:61013919</t>
  </si>
  <si>
    <t>chr19:10771928:10771601</t>
  </si>
  <si>
    <t>chr11:clu_6611</t>
  </si>
  <si>
    <t>chr11:61013563:61017479</t>
  </si>
  <si>
    <t>chr19:10771928:10768817</t>
  </si>
  <si>
    <t>chr11:61014014:61015713</t>
  </si>
  <si>
    <t>chr19:10771506:10770308</t>
  </si>
  <si>
    <t>chr11:61014014:61017479</t>
  </si>
  <si>
    <t>chr19:10771506:10768817</t>
  </si>
  <si>
    <t>chr11:61015835:61017479</t>
  </si>
  <si>
    <t>chr19:10770192:10768817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</si>
</sst>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rgb="FFFF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</cellStyleXfs>
  <cellXfs count="15">
    <xf numFmtId="0" fontId="0" fillId="0" borderId="0" xfId="0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1" fillId="0" borderId="0" xfId="0" applyFont="1"/>
    <xf numFmtId="0" fontId="19" fillId="0" borderId="0" xfId="0" applyFont="1"/>
    <xf numFmtId="0" fontId="19" fillId="0" borderId="10" xfId="0" applyFont="1" applyBorder="1"/>
    <xf numFmtId="0" fontId="19" fillId="0" borderId="11" xfId="0" applyFont="1" applyBorder="1"/>
    <xf numFmtId="0" fontId="19" fillId="0" borderId="12" xfId="0" applyFont="1" applyBorder="1"/>
    <xf numFmtId="11" fontId="19" fillId="0" borderId="11" xfId="0" applyNumberFormat="1" applyFont="1" applyBorder="1"/>
    <xf numFmtId="0" fontId="19" fillId="0" borderId="13" xfId="0" applyFont="1" applyBorder="1"/>
    <xf numFmtId="11" fontId="19" fillId="0" borderId="0" xfId="0" applyNumberFormat="1" applyFont="1"/>
    <xf numFmtId="0" fontId="19" fillId="0" borderId="14" xfId="0" applyFont="1" applyBorder="1"/>
    <xf numFmtId="0" fontId="2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CC293-07CB-46F3-A6FA-A9AE7DD188E9}">
  <dimension ref="A1:AF25"/>
  <sheetViews>
    <sheetView tabSelected="1" workbookViewId="0">
      <pane ySplit="1" topLeftCell="A2" activePane="bottomLeft" state="frozen"/>
      <selection pane="bottomLeft" activeCell="A7" sqref="A7"/>
    </sheetView>
  </sheetViews>
  <sheetFormatPr baseColWidth="10" defaultColWidth="8.83203125" defaultRowHeight="15" x14ac:dyDescent="0.2"/>
  <cols>
    <col min="1" max="1" width="36" customWidth="1"/>
    <col min="2" max="2" width="35.83203125" customWidth="1"/>
    <col min="3" max="3" width="32.83203125" customWidth="1"/>
    <col min="4" max="4" width="37.1640625" customWidth="1"/>
    <col min="5" max="5" width="17.83203125" customWidth="1"/>
    <col min="6" max="6" width="15.83203125" customWidth="1"/>
    <col min="7" max="7" width="27.33203125" customWidth="1"/>
    <col min="8" max="8" width="36.6640625" customWidth="1"/>
    <col min="9" max="9" width="9" style="2" bestFit="1" customWidth="1"/>
    <col min="10" max="10" width="9.5" bestFit="1" customWidth="1"/>
    <col min="11" max="11" width="9" bestFit="1" customWidth="1"/>
    <col min="12" max="12" width="9" style="3" bestFit="1" customWidth="1"/>
    <col min="13" max="13" width="9" style="2" bestFit="1" customWidth="1"/>
    <col min="14" max="14" width="9.5" bestFit="1" customWidth="1"/>
    <col min="15" max="15" width="9" bestFit="1" customWidth="1"/>
    <col min="16" max="16" width="9" style="3" bestFit="1" customWidth="1"/>
    <col min="17" max="17" width="9" style="2" bestFit="1" customWidth="1"/>
    <col min="18" max="18" width="9.5" bestFit="1" customWidth="1"/>
    <col min="19" max="19" width="9" bestFit="1" customWidth="1"/>
    <col min="20" max="20" width="9" style="3" bestFit="1" customWidth="1"/>
    <col min="21" max="21" width="9" bestFit="1" customWidth="1"/>
    <col min="22" max="22" width="9.5" bestFit="1" customWidth="1"/>
    <col min="23" max="24" width="9" bestFit="1" customWidth="1"/>
    <col min="25" max="25" width="9" style="2" bestFit="1" customWidth="1"/>
    <col min="26" max="26" width="9.5" bestFit="1" customWidth="1"/>
    <col min="27" max="27" width="9" bestFit="1" customWidth="1"/>
    <col min="28" max="28" width="9" style="3" bestFit="1" customWidth="1"/>
    <col min="29" max="29" width="9" style="2" bestFit="1" customWidth="1"/>
    <col min="30" max="30" width="9.5" bestFit="1" customWidth="1"/>
    <col min="31" max="31" width="9" bestFit="1" customWidth="1"/>
    <col min="32" max="32" width="9" style="3" bestFit="1" customWidth="1"/>
  </cols>
  <sheetData>
    <row r="1" spans="1:32" ht="20" thickBot="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8" t="s">
        <v>9</v>
      </c>
      <c r="K1" s="8" t="s">
        <v>10</v>
      </c>
      <c r="L1" s="9" t="s">
        <v>11</v>
      </c>
      <c r="M1" s="7" t="s">
        <v>12</v>
      </c>
      <c r="N1" s="8" t="s">
        <v>13</v>
      </c>
      <c r="O1" s="8" t="s">
        <v>14</v>
      </c>
      <c r="P1" s="9" t="s">
        <v>15</v>
      </c>
      <c r="Q1" s="7" t="s">
        <v>16</v>
      </c>
      <c r="R1" s="8" t="s">
        <v>17</v>
      </c>
      <c r="S1" s="8" t="s">
        <v>18</v>
      </c>
      <c r="T1" s="9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7" t="s">
        <v>24</v>
      </c>
      <c r="Z1" s="8" t="s">
        <v>25</v>
      </c>
      <c r="AA1" s="8" t="s">
        <v>26</v>
      </c>
      <c r="AB1" s="9" t="s">
        <v>27</v>
      </c>
      <c r="AC1" s="7" t="s">
        <v>28</v>
      </c>
      <c r="AD1" s="8" t="s">
        <v>29</v>
      </c>
      <c r="AE1" s="8" t="s">
        <v>30</v>
      </c>
      <c r="AF1" s="9" t="s">
        <v>31</v>
      </c>
    </row>
    <row r="2" spans="1:32" s="1" customFormat="1" ht="19" x14ac:dyDescent="0.25">
      <c r="A2" s="6" t="s">
        <v>65</v>
      </c>
      <c r="B2" s="6" t="s">
        <v>66</v>
      </c>
      <c r="C2" s="6" t="s">
        <v>67</v>
      </c>
      <c r="D2" s="6" t="s">
        <v>68</v>
      </c>
      <c r="E2" s="6" t="s">
        <v>40</v>
      </c>
      <c r="F2" s="6" t="s">
        <v>40</v>
      </c>
      <c r="G2" s="6" t="s">
        <v>69</v>
      </c>
      <c r="H2" s="6" t="s">
        <v>67</v>
      </c>
      <c r="I2" s="7">
        <v>0.1201659393</v>
      </c>
      <c r="J2" s="10">
        <v>7.4777528402549903E-35</v>
      </c>
      <c r="K2" s="8">
        <v>7</v>
      </c>
      <c r="L2" s="9">
        <v>33.5</v>
      </c>
      <c r="M2" s="7">
        <v>0.13192398899999999</v>
      </c>
      <c r="N2" s="10">
        <v>4.6929226108782403E-29</v>
      </c>
      <c r="O2" s="8">
        <v>6.6</v>
      </c>
      <c r="P2" s="9">
        <v>30.333333329999999</v>
      </c>
      <c r="Q2" s="7">
        <v>0.164847988</v>
      </c>
      <c r="R2" s="10">
        <v>1.1564197025093599E-27</v>
      </c>
      <c r="S2" s="8">
        <v>6.8</v>
      </c>
      <c r="T2" s="9">
        <v>29.5</v>
      </c>
      <c r="U2" s="8">
        <v>0.16383778609999999</v>
      </c>
      <c r="V2" s="10">
        <v>1.8540833548036102E-17</v>
      </c>
      <c r="W2" s="8">
        <v>6.6</v>
      </c>
      <c r="X2" s="8">
        <v>73.5</v>
      </c>
      <c r="Y2" s="7">
        <v>0.10941500949999999</v>
      </c>
      <c r="Z2" s="10">
        <v>3.5230006025640899E-6</v>
      </c>
      <c r="AA2" s="8">
        <v>8.3333333330000006</v>
      </c>
      <c r="AB2" s="9">
        <v>8.6666666669999994</v>
      </c>
      <c r="AC2" s="7">
        <v>0.2100840195</v>
      </c>
      <c r="AD2" s="10">
        <v>4.6881086521682702E-17</v>
      </c>
      <c r="AE2" s="8">
        <v>1.6</v>
      </c>
      <c r="AF2" s="9">
        <v>37.5</v>
      </c>
    </row>
    <row r="3" spans="1:32" ht="19" x14ac:dyDescent="0.25">
      <c r="A3" s="6" t="s">
        <v>70</v>
      </c>
      <c r="B3" s="6" t="s">
        <v>71</v>
      </c>
      <c r="C3" s="6" t="s">
        <v>67</v>
      </c>
      <c r="D3" s="6" t="s">
        <v>68</v>
      </c>
      <c r="E3" s="6" t="s">
        <v>42</v>
      </c>
      <c r="F3" s="6" t="s">
        <v>42</v>
      </c>
      <c r="G3" s="6" t="s">
        <v>69</v>
      </c>
      <c r="H3" s="6" t="s">
        <v>67</v>
      </c>
      <c r="I3" s="11">
        <v>0.1015916518</v>
      </c>
      <c r="J3" s="12">
        <v>7.4777528402549903E-35</v>
      </c>
      <c r="K3" s="6">
        <v>62</v>
      </c>
      <c r="L3" s="13">
        <v>64.5</v>
      </c>
      <c r="M3" s="11">
        <v>9.0031859990000004E-2</v>
      </c>
      <c r="N3" s="12">
        <v>4.6929226108782403E-29</v>
      </c>
      <c r="O3" s="6">
        <v>56.8</v>
      </c>
      <c r="P3" s="13">
        <v>47</v>
      </c>
      <c r="Q3" s="11">
        <v>3.075443709E-2</v>
      </c>
      <c r="R3" s="12">
        <v>1.1564197025093599E-27</v>
      </c>
      <c r="S3" s="6">
        <v>39.799999999999997</v>
      </c>
      <c r="T3" s="13">
        <v>23</v>
      </c>
      <c r="U3" s="6">
        <v>0.1116418019</v>
      </c>
      <c r="V3" s="12">
        <v>1.8540833548036102E-17</v>
      </c>
      <c r="W3" s="6">
        <v>24.6</v>
      </c>
      <c r="X3" s="6">
        <v>81.5</v>
      </c>
      <c r="Y3" s="11">
        <v>0.23335597499999999</v>
      </c>
      <c r="Z3" s="12">
        <v>3.5230006025640899E-6</v>
      </c>
      <c r="AA3" s="6">
        <v>30.333333329999999</v>
      </c>
      <c r="AB3" s="13">
        <v>30.666666670000001</v>
      </c>
      <c r="AC3" s="11">
        <v>5.5052867399999997E-2</v>
      </c>
      <c r="AD3" s="12">
        <v>4.6881086521682702E-17</v>
      </c>
      <c r="AE3" s="6">
        <v>60.4</v>
      </c>
      <c r="AF3" s="13">
        <v>27.5</v>
      </c>
    </row>
    <row r="4" spans="1:32" ht="19" x14ac:dyDescent="0.25">
      <c r="A4" s="14" t="s">
        <v>72</v>
      </c>
      <c r="B4" s="6" t="s">
        <v>73</v>
      </c>
      <c r="C4" s="6" t="s">
        <v>67</v>
      </c>
      <c r="D4" s="6" t="s">
        <v>68</v>
      </c>
      <c r="E4" s="6" t="s">
        <v>64</v>
      </c>
      <c r="F4" s="6" t="s">
        <v>64</v>
      </c>
      <c r="G4" s="6" t="s">
        <v>69</v>
      </c>
      <c r="H4" s="6" t="s">
        <v>67</v>
      </c>
      <c r="I4" s="11">
        <v>0.61463688679999995</v>
      </c>
      <c r="J4" s="12">
        <v>7.4777528402549903E-35</v>
      </c>
      <c r="K4" s="6">
        <v>221</v>
      </c>
      <c r="L4" s="13">
        <v>0.25</v>
      </c>
      <c r="M4" s="11">
        <v>0.6594886459</v>
      </c>
      <c r="N4" s="12">
        <v>4.6929226108782403E-29</v>
      </c>
      <c r="O4" s="6">
        <v>249</v>
      </c>
      <c r="P4" s="13">
        <v>1.3333333329999999</v>
      </c>
      <c r="Q4" s="11">
        <v>0.67202630689999998</v>
      </c>
      <c r="R4" s="12">
        <v>1.1564197025093599E-27</v>
      </c>
      <c r="S4" s="6">
        <v>203.2</v>
      </c>
      <c r="T4" s="13">
        <v>0</v>
      </c>
      <c r="U4" s="6">
        <v>0.69777795909999996</v>
      </c>
      <c r="V4" s="12">
        <v>1.8540833548036102E-17</v>
      </c>
      <c r="W4" s="6">
        <v>166.4</v>
      </c>
      <c r="X4" s="6">
        <v>0</v>
      </c>
      <c r="Y4" s="11">
        <v>0.70137553559999999</v>
      </c>
      <c r="Z4" s="12">
        <v>3.5230006025640899E-6</v>
      </c>
      <c r="AA4" s="6">
        <v>321.66666670000001</v>
      </c>
      <c r="AB4" s="13">
        <v>0</v>
      </c>
      <c r="AC4" s="11">
        <v>0.51292823099999996</v>
      </c>
      <c r="AD4" s="12">
        <v>4.6881086521682702E-17</v>
      </c>
      <c r="AE4" s="6">
        <v>146.6</v>
      </c>
      <c r="AF4" s="13">
        <v>0</v>
      </c>
    </row>
    <row r="5" spans="1:32" ht="19" x14ac:dyDescent="0.25">
      <c r="A5" s="6" t="s">
        <v>74</v>
      </c>
      <c r="B5" s="6" t="s">
        <v>75</v>
      </c>
      <c r="C5" s="6" t="s">
        <v>67</v>
      </c>
      <c r="D5" s="6" t="s">
        <v>68</v>
      </c>
      <c r="E5" s="6" t="s">
        <v>36</v>
      </c>
      <c r="F5" s="6" t="s">
        <v>36</v>
      </c>
      <c r="G5" s="6" t="s">
        <v>69</v>
      </c>
      <c r="H5" s="6" t="s">
        <v>67</v>
      </c>
      <c r="I5" s="11">
        <v>0.1488981768</v>
      </c>
      <c r="J5" s="12">
        <v>7.4777528402549903E-35</v>
      </c>
      <c r="K5" s="6">
        <v>12.8</v>
      </c>
      <c r="L5" s="13">
        <v>45.25</v>
      </c>
      <c r="M5" s="11">
        <v>0.17175687619999999</v>
      </c>
      <c r="N5" s="12">
        <v>4.6929226108782403E-29</v>
      </c>
      <c r="O5" s="6">
        <v>10.199999999999999</v>
      </c>
      <c r="P5" s="13">
        <v>39.833333330000002</v>
      </c>
      <c r="Q5" s="11">
        <v>0.2081841197</v>
      </c>
      <c r="R5" s="12">
        <v>1.1564197025093599E-27</v>
      </c>
      <c r="S5" s="6">
        <v>11.6</v>
      </c>
      <c r="T5" s="13">
        <v>35.5</v>
      </c>
      <c r="U5" s="6">
        <v>0.18680166170000001</v>
      </c>
      <c r="V5" s="12">
        <v>1.8540833548036102E-17</v>
      </c>
      <c r="W5" s="6">
        <v>11.2</v>
      </c>
      <c r="X5" s="6">
        <v>87.5</v>
      </c>
      <c r="Y5" s="11">
        <v>0.14790035839999999</v>
      </c>
      <c r="Z5" s="12">
        <v>3.5230006025640899E-6</v>
      </c>
      <c r="AA5" s="6">
        <v>14.33333333</v>
      </c>
      <c r="AB5" s="13">
        <v>16.5</v>
      </c>
      <c r="AC5" s="11">
        <v>0.1821893051</v>
      </c>
      <c r="AD5" s="12">
        <v>4.6881086521682702E-17</v>
      </c>
      <c r="AE5" s="6">
        <v>10.4</v>
      </c>
      <c r="AF5" s="13">
        <v>37.5</v>
      </c>
    </row>
    <row r="6" spans="1:32" ht="19" x14ac:dyDescent="0.25">
      <c r="A6" s="6" t="s">
        <v>76</v>
      </c>
      <c r="B6" s="6" t="s">
        <v>77</v>
      </c>
      <c r="C6" s="6" t="s">
        <v>67</v>
      </c>
      <c r="D6" s="6" t="s">
        <v>68</v>
      </c>
      <c r="E6" s="6" t="s">
        <v>39</v>
      </c>
      <c r="F6" s="6" t="s">
        <v>39</v>
      </c>
      <c r="G6" s="6" t="s">
        <v>69</v>
      </c>
      <c r="H6" s="6" t="s">
        <v>67</v>
      </c>
      <c r="I6" s="11">
        <v>3.9339915179999997E-2</v>
      </c>
      <c r="J6" s="12">
        <v>7.4777528402549903E-35</v>
      </c>
      <c r="K6" s="6">
        <v>41.2</v>
      </c>
      <c r="L6" s="13">
        <v>35.875</v>
      </c>
      <c r="M6" s="11">
        <v>9.7515207660000006E-2</v>
      </c>
      <c r="N6" s="12">
        <v>4.6929226108782403E-29</v>
      </c>
      <c r="O6" s="6">
        <v>37.4</v>
      </c>
      <c r="P6" s="13">
        <v>39.333333330000002</v>
      </c>
      <c r="Q6" s="11">
        <v>3.189436767E-2</v>
      </c>
      <c r="R6" s="12">
        <v>1.1564197025093599E-27</v>
      </c>
      <c r="S6" s="6">
        <v>30.6</v>
      </c>
      <c r="T6" s="13">
        <v>20.666666670000001</v>
      </c>
      <c r="U6" s="6">
        <v>6.3288653139999998E-2</v>
      </c>
      <c r="V6" s="12">
        <v>1.8540833548036102E-17</v>
      </c>
      <c r="W6" s="6">
        <v>23</v>
      </c>
      <c r="X6" s="6">
        <v>60</v>
      </c>
      <c r="Y6" s="11">
        <v>8.5331947640000003E-2</v>
      </c>
      <c r="Z6" s="12">
        <v>3.5230006025640899E-6</v>
      </c>
      <c r="AA6" s="6">
        <v>27</v>
      </c>
      <c r="AB6" s="13">
        <v>14.16666667</v>
      </c>
      <c r="AC6" s="11">
        <v>2.282038975E-2</v>
      </c>
      <c r="AD6" s="12">
        <v>4.6881086521682702E-17</v>
      </c>
      <c r="AE6" s="6">
        <v>51</v>
      </c>
      <c r="AF6" s="13">
        <v>35</v>
      </c>
    </row>
    <row r="7" spans="1:32" s="4" customFormat="1" ht="20" thickBot="1" x14ac:dyDescent="0.3">
      <c r="A7" s="6" t="s">
        <v>78</v>
      </c>
      <c r="B7" s="6" t="s">
        <v>79</v>
      </c>
      <c r="C7" s="6" t="s">
        <v>67</v>
      </c>
      <c r="D7" s="6" t="s">
        <v>68</v>
      </c>
      <c r="E7" s="6" t="s">
        <v>37</v>
      </c>
      <c r="F7" s="6" t="s">
        <v>37</v>
      </c>
      <c r="G7" s="6" t="s">
        <v>69</v>
      </c>
      <c r="H7" s="6" t="s">
        <v>67</v>
      </c>
      <c r="I7" s="11">
        <v>0.2046412038</v>
      </c>
      <c r="J7" s="12">
        <v>7.4777528402549903E-35</v>
      </c>
      <c r="K7" s="6">
        <v>14.8</v>
      </c>
      <c r="L7" s="13">
        <v>58.25</v>
      </c>
      <c r="M7" s="11">
        <v>0.16826071309999999</v>
      </c>
      <c r="N7" s="12">
        <v>4.6929226108782403E-29</v>
      </c>
      <c r="O7" s="6">
        <v>16.8</v>
      </c>
      <c r="P7" s="13">
        <v>42</v>
      </c>
      <c r="Q7" s="11">
        <v>0.23634539439999999</v>
      </c>
      <c r="R7" s="12">
        <v>1.1564197025093599E-27</v>
      </c>
      <c r="S7" s="6">
        <v>10.199999999999999</v>
      </c>
      <c r="T7" s="13">
        <v>38.666666669999998</v>
      </c>
      <c r="U7" s="6">
        <v>0.1722080563</v>
      </c>
      <c r="V7" s="12">
        <v>1.8540833548036102E-17</v>
      </c>
      <c r="W7" s="6">
        <v>7</v>
      </c>
      <c r="X7" s="6">
        <v>76.5</v>
      </c>
      <c r="Y7" s="11">
        <v>0.29603614029999997</v>
      </c>
      <c r="Z7" s="12">
        <v>3.5230006025640899E-6</v>
      </c>
      <c r="AA7" s="6">
        <v>17</v>
      </c>
      <c r="AB7" s="13">
        <v>33.166666669999998</v>
      </c>
      <c r="AC7" s="11">
        <v>0.1528873841</v>
      </c>
      <c r="AD7" s="12">
        <v>4.6881086521682702E-17</v>
      </c>
      <c r="AE7" s="6">
        <v>14.6</v>
      </c>
      <c r="AF7" s="13">
        <v>34.5</v>
      </c>
    </row>
    <row r="8" spans="1:32" ht="19" x14ac:dyDescent="0.25">
      <c r="A8" s="6" t="s">
        <v>44</v>
      </c>
      <c r="B8" s="6" t="s">
        <v>45</v>
      </c>
      <c r="C8" s="6" t="s">
        <v>46</v>
      </c>
      <c r="D8" s="6" t="s">
        <v>47</v>
      </c>
      <c r="E8" s="6" t="s">
        <v>35</v>
      </c>
      <c r="F8" s="6" t="s">
        <v>35</v>
      </c>
      <c r="G8" s="6" t="s">
        <v>48</v>
      </c>
      <c r="H8" s="6" t="s">
        <v>46</v>
      </c>
      <c r="I8" s="11">
        <v>4.7493849909999997E-2</v>
      </c>
      <c r="J8" s="12">
        <v>6.6952786769337999E-34</v>
      </c>
      <c r="K8" s="6">
        <v>646.79999999999995</v>
      </c>
      <c r="L8" s="13">
        <v>1201</v>
      </c>
      <c r="M8" s="11">
        <v>3.1198637380000002E-2</v>
      </c>
      <c r="N8" s="12">
        <v>5.8771302571672603E-36</v>
      </c>
      <c r="O8" s="6">
        <v>573.6</v>
      </c>
      <c r="P8" s="13">
        <v>1103.333333</v>
      </c>
      <c r="Q8" s="11">
        <v>1.3182249030000001E-2</v>
      </c>
      <c r="R8" s="12">
        <v>1.81346971792273E-33</v>
      </c>
      <c r="S8" s="6">
        <v>817</v>
      </c>
      <c r="T8" s="13">
        <v>521</v>
      </c>
      <c r="U8" s="6">
        <v>3.0958964339999999E-2</v>
      </c>
      <c r="V8" s="12">
        <v>4.080099378333E-17</v>
      </c>
      <c r="W8" s="6">
        <v>441.2</v>
      </c>
      <c r="X8" s="6">
        <v>984.5</v>
      </c>
      <c r="Y8" s="11">
        <v>9.3129239720000007E-2</v>
      </c>
      <c r="Z8" s="12">
        <v>1.47600495661848E-27</v>
      </c>
      <c r="AA8" s="6">
        <v>72.333333330000002</v>
      </c>
      <c r="AB8" s="13">
        <v>638.83333330000005</v>
      </c>
      <c r="AC8" s="11">
        <v>2.839424234E-2</v>
      </c>
      <c r="AD8" s="12">
        <v>7.1029707301589307E-21</v>
      </c>
      <c r="AE8" s="6">
        <v>561.6</v>
      </c>
      <c r="AF8" s="13">
        <v>848</v>
      </c>
    </row>
    <row r="9" spans="1:32" ht="19" x14ac:dyDescent="0.25">
      <c r="A9" s="6" t="s">
        <v>49</v>
      </c>
      <c r="B9" s="6" t="s">
        <v>50</v>
      </c>
      <c r="C9" s="6" t="s">
        <v>46</v>
      </c>
      <c r="D9" s="6" t="s">
        <v>47</v>
      </c>
      <c r="E9" s="6" t="s">
        <v>43</v>
      </c>
      <c r="F9" s="6" t="s">
        <v>43</v>
      </c>
      <c r="G9" s="6" t="s">
        <v>48</v>
      </c>
      <c r="H9" s="6" t="s">
        <v>46</v>
      </c>
      <c r="I9" s="11">
        <v>7.2808722030000004E-3</v>
      </c>
      <c r="J9" s="12">
        <v>6.6952786769337999E-34</v>
      </c>
      <c r="K9" s="6">
        <v>21.8</v>
      </c>
      <c r="L9" s="13">
        <v>0.75</v>
      </c>
      <c r="M9" s="11">
        <v>7.6043975429999997E-3</v>
      </c>
      <c r="N9" s="12">
        <v>5.8771302571672603E-36</v>
      </c>
      <c r="O9" s="6">
        <v>18.8</v>
      </c>
      <c r="P9" s="13">
        <v>2</v>
      </c>
      <c r="Q9" s="11">
        <v>1.397651028E-2</v>
      </c>
      <c r="R9" s="12">
        <v>1.81346971792273E-33</v>
      </c>
      <c r="S9" s="6">
        <v>54.8</v>
      </c>
      <c r="T9" s="13">
        <v>0.66666666669999997</v>
      </c>
      <c r="U9" s="6">
        <v>1.0082011869999999E-2</v>
      </c>
      <c r="V9" s="12">
        <v>4.080099378333E-17</v>
      </c>
      <c r="W9" s="6">
        <v>19.399999999999999</v>
      </c>
      <c r="X9" s="6">
        <v>4</v>
      </c>
      <c r="Y9" s="11">
        <v>1.4730384080000001E-2</v>
      </c>
      <c r="Z9" s="12">
        <v>1.47600495661848E-27</v>
      </c>
      <c r="AA9" s="6">
        <v>7</v>
      </c>
      <c r="AB9" s="13">
        <v>1.6666666670000001</v>
      </c>
      <c r="AC9" s="11">
        <v>9.7612305049999994E-3</v>
      </c>
      <c r="AD9" s="12">
        <v>7.1029707301589307E-21</v>
      </c>
      <c r="AE9" s="6">
        <v>24.2</v>
      </c>
      <c r="AF9" s="13">
        <v>4</v>
      </c>
    </row>
    <row r="10" spans="1:32" ht="19" x14ac:dyDescent="0.25">
      <c r="A10" s="6" t="s">
        <v>51</v>
      </c>
      <c r="B10" s="6" t="s">
        <v>52</v>
      </c>
      <c r="C10" s="6" t="s">
        <v>46</v>
      </c>
      <c r="D10" s="6" t="s">
        <v>47</v>
      </c>
      <c r="E10" s="6" t="s">
        <v>41</v>
      </c>
      <c r="F10" s="6" t="s">
        <v>41</v>
      </c>
      <c r="G10" s="6" t="s">
        <v>48</v>
      </c>
      <c r="H10" s="6" t="s">
        <v>46</v>
      </c>
      <c r="I10" s="11">
        <v>4.2525135499999998E-2</v>
      </c>
      <c r="J10" s="12">
        <v>6.6952786769337999E-34</v>
      </c>
      <c r="K10" s="6">
        <v>131.80000000000001</v>
      </c>
      <c r="L10" s="13">
        <v>0</v>
      </c>
      <c r="M10" s="11">
        <v>4.3387120209999998E-2</v>
      </c>
      <c r="N10" s="12">
        <v>5.8771302571672603E-36</v>
      </c>
      <c r="O10" s="6">
        <v>112</v>
      </c>
      <c r="P10" s="13">
        <v>0.33333333329999998</v>
      </c>
      <c r="Q10" s="11">
        <v>5.2342843860000002E-2</v>
      </c>
      <c r="R10" s="12">
        <v>1.81346971792273E-33</v>
      </c>
      <c r="S10" s="6">
        <v>212.8</v>
      </c>
      <c r="T10" s="13">
        <v>0</v>
      </c>
      <c r="U10" s="6">
        <v>4.169382454E-2</v>
      </c>
      <c r="V10" s="12">
        <v>4.080099378333E-17</v>
      </c>
      <c r="W10" s="6">
        <v>83</v>
      </c>
      <c r="X10" s="6">
        <v>0</v>
      </c>
      <c r="Y10" s="11">
        <v>0.1216910942</v>
      </c>
      <c r="Z10" s="12">
        <v>1.47600495661848E-27</v>
      </c>
      <c r="AA10" s="6">
        <v>63</v>
      </c>
      <c r="AB10" s="13">
        <v>0.16666666669999999</v>
      </c>
      <c r="AC10" s="11">
        <v>3.7777246190000002E-2</v>
      </c>
      <c r="AD10" s="12">
        <v>7.1029707301589307E-21</v>
      </c>
      <c r="AE10" s="6">
        <v>97.6</v>
      </c>
      <c r="AF10" s="13">
        <v>1</v>
      </c>
    </row>
    <row r="11" spans="1:32" ht="19" x14ac:dyDescent="0.25">
      <c r="A11" s="6" t="s">
        <v>53</v>
      </c>
      <c r="B11" s="6" t="s">
        <v>54</v>
      </c>
      <c r="C11" s="6" t="s">
        <v>46</v>
      </c>
      <c r="D11" s="6" t="s">
        <v>47</v>
      </c>
      <c r="E11" s="6" t="s">
        <v>55</v>
      </c>
      <c r="F11" s="6" t="s">
        <v>55</v>
      </c>
      <c r="G11" s="6" t="s">
        <v>48</v>
      </c>
      <c r="H11" s="6" t="s">
        <v>46</v>
      </c>
      <c r="I11" s="11">
        <v>1.032153867E-2</v>
      </c>
      <c r="J11" s="12">
        <v>6.6952786769337999E-34</v>
      </c>
      <c r="K11" s="6">
        <v>31.4</v>
      </c>
      <c r="L11" s="13">
        <v>0</v>
      </c>
      <c r="M11" s="11">
        <v>1.020494393E-2</v>
      </c>
      <c r="N11" s="12">
        <v>5.8771302571672603E-36</v>
      </c>
      <c r="O11" s="6">
        <v>26.4</v>
      </c>
      <c r="P11" s="13">
        <v>0</v>
      </c>
      <c r="Q11" s="11">
        <v>1.311318805E-2</v>
      </c>
      <c r="R11" s="12">
        <v>1.81346971792273E-33</v>
      </c>
      <c r="S11" s="6">
        <v>52</v>
      </c>
      <c r="T11" s="13">
        <v>0</v>
      </c>
      <c r="U11" s="6">
        <v>9.24857896E-3</v>
      </c>
      <c r="V11" s="12">
        <v>4.080099378333E-17</v>
      </c>
      <c r="W11" s="6">
        <v>18</v>
      </c>
      <c r="X11" s="6">
        <v>1</v>
      </c>
      <c r="Y11" s="11">
        <v>8.7999930419999997E-2</v>
      </c>
      <c r="Z11" s="12">
        <v>1.47600495661848E-27</v>
      </c>
      <c r="AA11" s="6">
        <v>45</v>
      </c>
      <c r="AB11" s="13">
        <v>0.16666666669999999</v>
      </c>
      <c r="AC11" s="11">
        <v>1.040015432E-2</v>
      </c>
      <c r="AD11" s="12">
        <v>7.1029707301589307E-21</v>
      </c>
      <c r="AE11" s="6">
        <v>26</v>
      </c>
      <c r="AF11" s="13">
        <v>2.5</v>
      </c>
    </row>
    <row r="12" spans="1:32" ht="19" x14ac:dyDescent="0.25">
      <c r="A12" s="6" t="s">
        <v>56</v>
      </c>
      <c r="B12" s="6" t="s">
        <v>57</v>
      </c>
      <c r="C12" s="6" t="s">
        <v>46</v>
      </c>
      <c r="D12" s="6" t="s">
        <v>47</v>
      </c>
      <c r="E12" s="6" t="s">
        <v>40</v>
      </c>
      <c r="F12" s="6" t="s">
        <v>40</v>
      </c>
      <c r="G12" s="6" t="s">
        <v>48</v>
      </c>
      <c r="H12" s="6" t="s">
        <v>46</v>
      </c>
      <c r="I12" s="11">
        <v>3.3795487700000001E-2</v>
      </c>
      <c r="J12" s="12">
        <v>6.6952786769337999E-34</v>
      </c>
      <c r="K12" s="6">
        <v>536</v>
      </c>
      <c r="L12" s="13">
        <v>973</v>
      </c>
      <c r="M12" s="11">
        <v>4.6959143449999997E-2</v>
      </c>
      <c r="N12" s="12">
        <v>5.8771302571672603E-36</v>
      </c>
      <c r="O12" s="6">
        <v>432.4</v>
      </c>
      <c r="P12" s="13">
        <v>932.33333330000005</v>
      </c>
      <c r="Q12" s="11">
        <v>7.3746400569999995E-2</v>
      </c>
      <c r="R12" s="12">
        <v>1.81346971792273E-33</v>
      </c>
      <c r="S12" s="6">
        <v>624.20000000000005</v>
      </c>
      <c r="T12" s="13">
        <v>532.16666669999995</v>
      </c>
      <c r="U12" s="6">
        <v>4.1314480049999998E-2</v>
      </c>
      <c r="V12" s="12">
        <v>4.080099378333E-17</v>
      </c>
      <c r="W12" s="6">
        <v>315.39999999999998</v>
      </c>
      <c r="X12" s="6">
        <v>782</v>
      </c>
      <c r="Y12" s="11">
        <v>0.1108353919</v>
      </c>
      <c r="Z12" s="12">
        <v>1.47600495661848E-27</v>
      </c>
      <c r="AA12" s="6">
        <v>55.333333330000002</v>
      </c>
      <c r="AB12" s="13">
        <v>591</v>
      </c>
      <c r="AC12" s="11">
        <v>6.4537016650000001E-2</v>
      </c>
      <c r="AD12" s="12">
        <v>7.1029707301589307E-21</v>
      </c>
      <c r="AE12" s="6">
        <v>420.4</v>
      </c>
      <c r="AF12" s="13">
        <v>1009.5</v>
      </c>
    </row>
    <row r="13" spans="1:32" ht="19" x14ac:dyDescent="0.25">
      <c r="A13" s="6" t="s">
        <v>58</v>
      </c>
      <c r="B13" s="6" t="s">
        <v>59</v>
      </c>
      <c r="C13" s="6" t="s">
        <v>46</v>
      </c>
      <c r="D13" s="6" t="s">
        <v>47</v>
      </c>
      <c r="E13" s="6" t="s">
        <v>42</v>
      </c>
      <c r="F13" s="6" t="s">
        <v>42</v>
      </c>
      <c r="G13" s="6" t="s">
        <v>48</v>
      </c>
      <c r="H13" s="6" t="s">
        <v>46</v>
      </c>
      <c r="I13" s="11">
        <v>1.6116699690000001E-3</v>
      </c>
      <c r="J13" s="12">
        <v>6.6952786769337999E-34</v>
      </c>
      <c r="K13" s="6">
        <v>2.8</v>
      </c>
      <c r="L13" s="13">
        <v>3</v>
      </c>
      <c r="M13" s="11">
        <v>5.9986613790000002E-4</v>
      </c>
      <c r="N13" s="12">
        <v>5.8771302571672603E-36</v>
      </c>
      <c r="O13" s="6">
        <v>3.6</v>
      </c>
      <c r="P13" s="13">
        <v>2.8333333330000001</v>
      </c>
      <c r="Q13" s="11">
        <v>1.301782541E-3</v>
      </c>
      <c r="R13" s="12">
        <v>1.81346971792273E-33</v>
      </c>
      <c r="S13" s="6">
        <v>8.4</v>
      </c>
      <c r="T13" s="13">
        <v>1.6666666670000001</v>
      </c>
      <c r="U13" s="6">
        <v>1.6499352800000002E-5</v>
      </c>
      <c r="V13" s="12">
        <v>4.080099378333E-17</v>
      </c>
      <c r="W13" s="6">
        <v>0.6</v>
      </c>
      <c r="X13" s="6">
        <v>2.5</v>
      </c>
      <c r="Y13" s="11">
        <v>5.8070182660000002E-4</v>
      </c>
      <c r="Z13" s="12">
        <v>1.47600495661848E-27</v>
      </c>
      <c r="AA13" s="6">
        <v>0.33333333329999998</v>
      </c>
      <c r="AB13" s="13">
        <v>3</v>
      </c>
      <c r="AC13" s="11">
        <v>1.091269369E-4</v>
      </c>
      <c r="AD13" s="12">
        <v>7.1029707301589307E-21</v>
      </c>
      <c r="AE13" s="6">
        <v>0.4</v>
      </c>
      <c r="AF13" s="13">
        <v>1</v>
      </c>
    </row>
    <row r="14" spans="1:32" ht="19" x14ac:dyDescent="0.25">
      <c r="A14" s="6" t="s">
        <v>60</v>
      </c>
      <c r="B14" s="6" t="s">
        <v>61</v>
      </c>
      <c r="C14" s="6" t="s">
        <v>46</v>
      </c>
      <c r="D14" s="6" t="s">
        <v>47</v>
      </c>
      <c r="E14" s="6" t="s">
        <v>36</v>
      </c>
      <c r="F14" s="6" t="s">
        <v>36</v>
      </c>
      <c r="G14" s="6" t="s">
        <v>48</v>
      </c>
      <c r="H14" s="6" t="s">
        <v>46</v>
      </c>
      <c r="I14" s="11">
        <v>7.3626416399999997E-3</v>
      </c>
      <c r="J14" s="12">
        <v>6.6952786769337999E-34</v>
      </c>
      <c r="K14" s="6">
        <v>799.4</v>
      </c>
      <c r="L14" s="13">
        <v>1254.625</v>
      </c>
      <c r="M14" s="11">
        <v>1.6231146120000001E-2</v>
      </c>
      <c r="N14" s="12">
        <v>5.8771302571672603E-36</v>
      </c>
      <c r="O14" s="6">
        <v>664.6</v>
      </c>
      <c r="P14" s="13">
        <v>1196.833333</v>
      </c>
      <c r="Q14" s="11">
        <v>3.3045979789999999E-2</v>
      </c>
      <c r="R14" s="12">
        <v>1.81346971792273E-33</v>
      </c>
      <c r="S14" s="6">
        <v>1028.4000000000001</v>
      </c>
      <c r="T14" s="13">
        <v>675.83333330000005</v>
      </c>
      <c r="U14" s="6">
        <v>2.3482161759999998E-2</v>
      </c>
      <c r="V14" s="12">
        <v>4.080099378333E-17</v>
      </c>
      <c r="W14" s="6">
        <v>503.6</v>
      </c>
      <c r="X14" s="6">
        <v>1086</v>
      </c>
      <c r="Y14" s="11">
        <v>8.7015620200000005E-2</v>
      </c>
      <c r="Z14" s="12">
        <v>1.47600495661848E-27</v>
      </c>
      <c r="AA14" s="6">
        <v>99</v>
      </c>
      <c r="AB14" s="13">
        <v>762.66666669999995</v>
      </c>
      <c r="AC14" s="11">
        <v>3.7840559119999999E-2</v>
      </c>
      <c r="AD14" s="12">
        <v>7.1029707301589307E-21</v>
      </c>
      <c r="AE14" s="6">
        <v>662.8</v>
      </c>
      <c r="AF14" s="13">
        <v>1315.5</v>
      </c>
    </row>
    <row r="15" spans="1:32" ht="19" x14ac:dyDescent="0.25">
      <c r="A15" s="6" t="s">
        <v>62</v>
      </c>
      <c r="B15" s="6" t="s">
        <v>63</v>
      </c>
      <c r="C15" s="6" t="s">
        <v>46</v>
      </c>
      <c r="D15" s="6" t="s">
        <v>47</v>
      </c>
      <c r="E15" s="6" t="s">
        <v>37</v>
      </c>
      <c r="F15" s="6" t="s">
        <v>37</v>
      </c>
      <c r="G15" s="6" t="s">
        <v>48</v>
      </c>
      <c r="H15" s="6" t="s">
        <v>46</v>
      </c>
      <c r="I15" s="11">
        <v>2.6912762909999999E-2</v>
      </c>
      <c r="J15" s="12">
        <v>6.6952786769337999E-34</v>
      </c>
      <c r="K15" s="6">
        <v>833.8</v>
      </c>
      <c r="L15" s="13">
        <v>1148</v>
      </c>
      <c r="M15" s="11">
        <v>3.2592599149999998E-2</v>
      </c>
      <c r="N15" s="12">
        <v>5.8771302571672603E-36</v>
      </c>
      <c r="O15" s="6">
        <v>717.4</v>
      </c>
      <c r="P15" s="13">
        <v>1070.5</v>
      </c>
      <c r="Q15" s="11">
        <v>3.9240304660000003E-2</v>
      </c>
      <c r="R15" s="12">
        <v>1.81346971792273E-33</v>
      </c>
      <c r="S15" s="6">
        <v>1207.5999999999999</v>
      </c>
      <c r="T15" s="13">
        <v>612.66666669999995</v>
      </c>
      <c r="U15" s="6">
        <v>3.471469143E-2</v>
      </c>
      <c r="V15" s="12">
        <v>4.080099378333E-17</v>
      </c>
      <c r="W15" s="6">
        <v>559.20000000000005</v>
      </c>
      <c r="X15" s="6">
        <v>976</v>
      </c>
      <c r="Y15" s="11">
        <v>6.7139544950000005E-2</v>
      </c>
      <c r="Z15" s="12">
        <v>1.47600495661848E-27</v>
      </c>
      <c r="AA15" s="6">
        <v>168.66666670000001</v>
      </c>
      <c r="AB15" s="13">
        <v>709.83333330000005</v>
      </c>
      <c r="AC15" s="11">
        <v>1.6153829349999999E-2</v>
      </c>
      <c r="AD15" s="12">
        <v>7.1029707301589307E-21</v>
      </c>
      <c r="AE15" s="6">
        <v>709.8</v>
      </c>
      <c r="AF15" s="13">
        <v>1161.5</v>
      </c>
    </row>
    <row r="16" spans="1:32" ht="19" x14ac:dyDescent="0.25">
      <c r="A16" s="6" t="s">
        <v>83</v>
      </c>
      <c r="B16" s="6" t="s">
        <v>84</v>
      </c>
      <c r="C16" s="6" t="s">
        <v>81</v>
      </c>
      <c r="D16" s="6" t="s">
        <v>82</v>
      </c>
      <c r="E16" s="6" t="s">
        <v>38</v>
      </c>
      <c r="F16" s="6" t="s">
        <v>38</v>
      </c>
      <c r="G16" s="6" t="s">
        <v>85</v>
      </c>
      <c r="H16" s="6" t="s">
        <v>81</v>
      </c>
      <c r="I16" s="11">
        <v>0.29507891419999999</v>
      </c>
      <c r="J16" s="12">
        <v>4.1963522097406599E-33</v>
      </c>
      <c r="K16" s="6">
        <v>40.200000000000003</v>
      </c>
      <c r="L16" s="13">
        <v>898.25</v>
      </c>
      <c r="M16" s="11">
        <v>0.30497628119999998</v>
      </c>
      <c r="N16" s="12">
        <v>3.9713002637544999E-28</v>
      </c>
      <c r="O16" s="6">
        <v>26.8</v>
      </c>
      <c r="P16" s="13">
        <v>543.5</v>
      </c>
      <c r="Q16" s="11"/>
      <c r="R16" s="12"/>
      <c r="S16" s="6">
        <v>0</v>
      </c>
      <c r="T16" s="13">
        <v>0</v>
      </c>
      <c r="U16" s="6"/>
      <c r="V16" s="12"/>
      <c r="W16" s="6">
        <v>2.6</v>
      </c>
      <c r="X16" s="6">
        <v>0</v>
      </c>
      <c r="Y16" s="11"/>
      <c r="Z16" s="12"/>
      <c r="AA16" s="6">
        <v>0</v>
      </c>
      <c r="AB16" s="13">
        <v>5</v>
      </c>
      <c r="AC16" s="11"/>
      <c r="AD16" s="12"/>
      <c r="AE16" s="6">
        <v>0.6</v>
      </c>
      <c r="AF16" s="13">
        <v>1</v>
      </c>
    </row>
    <row r="17" spans="1:32" ht="19" x14ac:dyDescent="0.25">
      <c r="A17" s="6" t="s">
        <v>86</v>
      </c>
      <c r="B17" s="6" t="s">
        <v>87</v>
      </c>
      <c r="C17" s="6" t="s">
        <v>81</v>
      </c>
      <c r="D17" s="6" t="s">
        <v>82</v>
      </c>
      <c r="E17" s="6" t="s">
        <v>80</v>
      </c>
      <c r="F17" s="6" t="s">
        <v>80</v>
      </c>
      <c r="G17" s="6" t="s">
        <v>85</v>
      </c>
      <c r="H17" s="6" t="s">
        <v>81</v>
      </c>
      <c r="I17" s="11">
        <v>3.9863695249999997E-2</v>
      </c>
      <c r="J17" s="12">
        <v>4.1963522097406599E-33</v>
      </c>
      <c r="K17" s="6">
        <v>19</v>
      </c>
      <c r="L17" s="13">
        <v>3.125</v>
      </c>
      <c r="M17" s="11">
        <v>4.4867409810000002E-2</v>
      </c>
      <c r="N17" s="12">
        <v>3.9713002637544999E-28</v>
      </c>
      <c r="O17" s="6">
        <v>16.2</v>
      </c>
      <c r="P17" s="13">
        <v>1.5</v>
      </c>
      <c r="Q17" s="11"/>
      <c r="R17" s="12"/>
      <c r="S17" s="6">
        <v>0</v>
      </c>
      <c r="T17" s="13">
        <v>0</v>
      </c>
      <c r="U17" s="6"/>
      <c r="V17" s="12"/>
      <c r="W17" s="6">
        <v>1.4</v>
      </c>
      <c r="X17" s="6">
        <v>0</v>
      </c>
      <c r="Y17" s="11"/>
      <c r="Z17" s="12"/>
      <c r="AA17" s="6">
        <v>0</v>
      </c>
      <c r="AB17" s="13">
        <v>0.16666666669999999</v>
      </c>
      <c r="AC17" s="11"/>
      <c r="AD17" s="12"/>
      <c r="AE17" s="6">
        <v>0.6</v>
      </c>
      <c r="AF17" s="13">
        <v>0</v>
      </c>
    </row>
    <row r="18" spans="1:32" ht="19" x14ac:dyDescent="0.25">
      <c r="A18" s="6" t="s">
        <v>88</v>
      </c>
      <c r="B18" s="6" t="s">
        <v>89</v>
      </c>
      <c r="C18" s="6" t="s">
        <v>81</v>
      </c>
      <c r="D18" s="6" t="s">
        <v>82</v>
      </c>
      <c r="E18" s="6" t="s">
        <v>32</v>
      </c>
      <c r="F18" s="6" t="s">
        <v>32</v>
      </c>
      <c r="G18" s="6" t="s">
        <v>85</v>
      </c>
      <c r="H18" s="6" t="s">
        <v>81</v>
      </c>
      <c r="I18" s="11">
        <v>0.1548557877</v>
      </c>
      <c r="J18" s="12">
        <v>4.1963522097406599E-33</v>
      </c>
      <c r="K18" s="6">
        <v>54.2</v>
      </c>
      <c r="L18" s="13">
        <v>638.125</v>
      </c>
      <c r="M18" s="11">
        <v>0.1617711258</v>
      </c>
      <c r="N18" s="12">
        <v>3.9713002637544999E-28</v>
      </c>
      <c r="O18" s="6">
        <v>37.4</v>
      </c>
      <c r="P18" s="13">
        <v>380.83333329999999</v>
      </c>
      <c r="Q18" s="11"/>
      <c r="R18" s="12"/>
      <c r="S18" s="6">
        <v>0</v>
      </c>
      <c r="T18" s="13">
        <v>0</v>
      </c>
      <c r="U18" s="6"/>
      <c r="V18" s="12"/>
      <c r="W18" s="6">
        <v>3.6</v>
      </c>
      <c r="X18" s="6">
        <v>0</v>
      </c>
      <c r="Y18" s="11"/>
      <c r="Z18" s="12"/>
      <c r="AA18" s="6">
        <v>0</v>
      </c>
      <c r="AB18" s="13">
        <v>3.3333333330000001</v>
      </c>
      <c r="AC18" s="11"/>
      <c r="AD18" s="12"/>
      <c r="AE18" s="6">
        <v>0.2</v>
      </c>
      <c r="AF18" s="13">
        <v>1.5</v>
      </c>
    </row>
    <row r="19" spans="1:32" ht="19" x14ac:dyDescent="0.25">
      <c r="A19" s="6" t="s">
        <v>90</v>
      </c>
      <c r="B19" s="6" t="s">
        <v>91</v>
      </c>
      <c r="C19" s="6" t="s">
        <v>81</v>
      </c>
      <c r="D19" s="6" t="s">
        <v>82</v>
      </c>
      <c r="E19" s="6" t="s">
        <v>33</v>
      </c>
      <c r="F19" s="6" t="s">
        <v>33</v>
      </c>
      <c r="G19" s="6" t="s">
        <v>85</v>
      </c>
      <c r="H19" s="6" t="s">
        <v>81</v>
      </c>
      <c r="I19" s="11">
        <v>6.0021765599999999E-2</v>
      </c>
      <c r="J19" s="12">
        <v>4.1963522097406599E-33</v>
      </c>
      <c r="K19" s="6">
        <v>1.2</v>
      </c>
      <c r="L19" s="13">
        <v>145.75</v>
      </c>
      <c r="M19" s="11">
        <v>7.4590224720000001E-2</v>
      </c>
      <c r="N19" s="12">
        <v>3.9713002637544999E-28</v>
      </c>
      <c r="O19" s="6">
        <v>1</v>
      </c>
      <c r="P19" s="13">
        <v>109.5</v>
      </c>
      <c r="Q19" s="11"/>
      <c r="R19" s="12"/>
      <c r="S19" s="6">
        <v>0</v>
      </c>
      <c r="T19" s="13">
        <v>0</v>
      </c>
      <c r="U19" s="6"/>
      <c r="V19" s="12"/>
      <c r="W19" s="6">
        <v>0</v>
      </c>
      <c r="X19" s="6">
        <v>0</v>
      </c>
      <c r="Y19" s="11"/>
      <c r="Z19" s="12"/>
      <c r="AA19" s="6">
        <v>0</v>
      </c>
      <c r="AB19" s="13">
        <v>1</v>
      </c>
      <c r="AC19" s="11"/>
      <c r="AD19" s="12"/>
      <c r="AE19" s="6">
        <v>0</v>
      </c>
      <c r="AF19" s="13">
        <v>0</v>
      </c>
    </row>
    <row r="20" spans="1:32" ht="19" x14ac:dyDescent="0.25">
      <c r="A20" s="6" t="s">
        <v>92</v>
      </c>
      <c r="B20" s="6" t="s">
        <v>93</v>
      </c>
      <c r="C20" s="6" t="s">
        <v>81</v>
      </c>
      <c r="D20" s="6" t="s">
        <v>82</v>
      </c>
      <c r="E20" s="6" t="s">
        <v>34</v>
      </c>
      <c r="F20" s="6" t="s">
        <v>34</v>
      </c>
      <c r="G20" s="6" t="s">
        <v>85</v>
      </c>
      <c r="H20" s="6" t="s">
        <v>81</v>
      </c>
      <c r="I20" s="11">
        <v>0.47009277220000001</v>
      </c>
      <c r="J20" s="12">
        <v>4.1963522097406599E-33</v>
      </c>
      <c r="K20" s="6">
        <v>341</v>
      </c>
      <c r="L20" s="13">
        <v>643.5</v>
      </c>
      <c r="M20" s="11">
        <v>0.49647022190000001</v>
      </c>
      <c r="N20" s="12">
        <v>3.9713002637544999E-28</v>
      </c>
      <c r="O20" s="6">
        <v>270.39999999999998</v>
      </c>
      <c r="P20" s="13">
        <v>386.5</v>
      </c>
      <c r="Q20" s="11"/>
      <c r="R20" s="12"/>
      <c r="S20" s="6">
        <v>0</v>
      </c>
      <c r="T20" s="13">
        <v>0.33333333329999998</v>
      </c>
      <c r="U20" s="6"/>
      <c r="V20" s="12"/>
      <c r="W20" s="6">
        <v>16.8</v>
      </c>
      <c r="X20" s="6">
        <v>0</v>
      </c>
      <c r="Y20" s="11"/>
      <c r="Z20" s="12"/>
      <c r="AA20" s="6">
        <v>0.66666666669999997</v>
      </c>
      <c r="AB20" s="13">
        <v>5.3333333329999997</v>
      </c>
      <c r="AC20" s="11"/>
      <c r="AD20" s="12"/>
      <c r="AE20" s="6">
        <v>2.4</v>
      </c>
      <c r="AF20" s="13">
        <v>1</v>
      </c>
    </row>
    <row r="25" spans="1:32" ht="16" x14ac:dyDescent="0.2">
      <c r="D25" s="5"/>
    </row>
  </sheetData>
  <autoFilter ref="A1:AF20" xr:uid="{E9CCC293-07CB-46F3-A6FA-A9AE7DD188E9}"/>
  <conditionalFormatting sqref="I1:I1048576 M1:M1048576 Q1:Q1048576 U1:U1048576 Y1:Y1048576 AC1:AC1048576">
    <cfRule type="cellIs" dxfId="2" priority="15" operator="greaterThan">
      <formula>0.1</formula>
    </cfRule>
  </conditionalFormatting>
  <conditionalFormatting sqref="J1:J1048576 N1:N1048576 R1:R1048576 V1:V1048576 Z1:Z1048576 AD1:AD1048576">
    <cfRule type="cellIs" dxfId="1" priority="14" operator="lessThan">
      <formula>0.05</formula>
    </cfRule>
  </conditionalFormatting>
  <conditionalFormatting sqref="K1:L1048576 O1:P1048576 S1:T1048576 W1:X1048576 AA1:AB1048576 AE1:AF1048576">
    <cfRule type="cellIs" dxfId="0" priority="13" operator="greaterThan">
      <formula>19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clusters_sum_table_HN6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Hadas Ner-gaon</dc:creator>
  <cp:lastModifiedBy>אריאל מלכי אור</cp:lastModifiedBy>
  <dcterms:created xsi:type="dcterms:W3CDTF">2026-03-31T08:19:43Z</dcterms:created>
  <dcterms:modified xsi:type="dcterms:W3CDTF">2026-06-19T09:37:42Z</dcterms:modified>
</cp:coreProperties>
</file>